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WE ACCOUNTING AND TAX\Job Account NEW (เริ่มใช้ปี 67)\บจก.รณสรา ฮอสพิเทลลิตี้\2568\08-68\LINEMAN\"/>
    </mc:Choice>
  </mc:AlternateContent>
  <xr:revisionPtr revIDLastSave="0" documentId="13_ncr:1_{0E7B7686-FF9C-4AC1-BA03-F09FFE947C98}" xr6:coauthVersionLast="47" xr6:coauthVersionMax="47" xr10:uidLastSave="{00000000-0000-0000-0000-000000000000}"/>
  <bookViews>
    <workbookView xWindow="-120" yWindow="-120" windowWidth="29040" windowHeight="15720" xr2:uid="{6AA533C3-78F3-4866-AF00-E0095BE0D79D}"/>
  </bookViews>
  <sheets>
    <sheet name="Lineman All Transaction" sheetId="2" r:id="rId1"/>
    <sheet name=" Lineman Summary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5" i="1" l="1"/>
  <c r="E3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4" i="1"/>
  <c r="D35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4" i="1"/>
  <c r="C35" i="1"/>
</calcChain>
</file>

<file path=xl/sharedStrings.xml><?xml version="1.0" encoding="utf-8"?>
<sst xmlns="http://schemas.openxmlformats.org/spreadsheetml/2006/main" count="144" uniqueCount="54">
  <si>
    <t>สรุปยอดLINEMAN สาขา CTW</t>
  </si>
  <si>
    <t>วันที่</t>
  </si>
  <si>
    <t>เลขที่</t>
  </si>
  <si>
    <t>ยอดขาย</t>
  </si>
  <si>
    <t>ยอดขายก่อน Vat</t>
  </si>
  <si>
    <t>Vat</t>
  </si>
  <si>
    <t>wongnai_restaurant_id</t>
  </si>
  <si>
    <t>restaurant_name</t>
  </si>
  <si>
    <t>branch_name</t>
  </si>
  <si>
    <t>summary_date</t>
  </si>
  <si>
    <t>total_revenue</t>
  </si>
  <si>
    <t>cash</t>
  </si>
  <si>
    <t>epayment</t>
  </si>
  <si>
    <t>gp_fee_with_vat</t>
  </si>
  <si>
    <t>ad_service_fee</t>
  </si>
  <si>
    <t>adjustment</t>
  </si>
  <si>
    <t>paid_amount</t>
  </si>
  <si>
    <t>balance</t>
  </si>
  <si>
    <t>payout</t>
  </si>
  <si>
    <t>3298982jH</t>
  </si>
  <si>
    <t>Rolls and Co.</t>
  </si>
  <si>
    <t>Central World</t>
  </si>
  <si>
    <t>รวม</t>
  </si>
  <si>
    <t>HL6808001</t>
  </si>
  <si>
    <t>HL6808002</t>
  </si>
  <si>
    <t>HL6808003</t>
  </si>
  <si>
    <t>HL6808004</t>
  </si>
  <si>
    <t>HL6808005</t>
  </si>
  <si>
    <t>HL6808006</t>
  </si>
  <si>
    <t>HL6808007</t>
  </si>
  <si>
    <t>HL6808008</t>
  </si>
  <si>
    <t>HL6808009</t>
  </si>
  <si>
    <t>HL6808010</t>
  </si>
  <si>
    <t>HL6808011</t>
  </si>
  <si>
    <t>HL6808012</t>
  </si>
  <si>
    <t>HL6808013</t>
  </si>
  <si>
    <t>HL6808014</t>
  </si>
  <si>
    <t>HL6808015</t>
  </si>
  <si>
    <t>HL6808016</t>
  </si>
  <si>
    <t>HL6808017</t>
  </si>
  <si>
    <t>HL6808018</t>
  </si>
  <si>
    <t>HL6808019</t>
  </si>
  <si>
    <t>HL6808020</t>
  </si>
  <si>
    <t>HL6808021</t>
  </si>
  <si>
    <t>HL6808022</t>
  </si>
  <si>
    <t>HL6808023</t>
  </si>
  <si>
    <t>HL6808024</t>
  </si>
  <si>
    <t>HL6808025</t>
  </si>
  <si>
    <t>HL6808026</t>
  </si>
  <si>
    <t>HL6808027</t>
  </si>
  <si>
    <t>HL6808028</t>
  </si>
  <si>
    <t>HL6808029</t>
  </si>
  <si>
    <t>HL6808030</t>
  </si>
  <si>
    <t>HL6808031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</si>
</sst>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6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  <font>
      <sz val="8"/>
      <name val="Calibri"/>
      <family val="2"/>
      <charset val="22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1" applyFont="1"/>
    <xf numFmtId="0" fontId="2" fillId="0" borderId="0" xfId="0" applyFont="1"/>
    <xf numFmtId="0" fontId="3" fillId="0" borderId="0" xfId="0" applyFont="1"/>
    <xf numFmtId="14" fontId="3" fillId="0" borderId="0" xfId="0" applyNumberFormat="1" applyFont="1"/>
    <xf numFmtId="0" fontId="0" fillId="0" borderId="1" xfId="0" applyBorder="1" applyAlignment="1">
      <alignment horizontal="center" vertical="center"/>
    </xf>
    <xf numFmtId="14" fontId="0" fillId="0" borderId="2" xfId="0" applyNumberFormat="1" applyBorder="1" applyAlignment="1">
      <alignment horizontal="left"/>
    </xf>
    <xf numFmtId="0" fontId="0" fillId="0" borderId="2" xfId="0" applyBorder="1" applyAlignment="1">
      <alignment horizontal="center" vertical="center"/>
    </xf>
    <xf numFmtId="164" fontId="0" fillId="0" borderId="2" xfId="1" applyFont="1" applyBorder="1"/>
    <xf numFmtId="0" fontId="0" fillId="0" borderId="3" xfId="0" applyBorder="1"/>
    <xf numFmtId="0" fontId="5" fillId="0" borderId="3" xfId="0" applyFont="1" applyBorder="1" applyAlignment="1">
      <alignment horizontal="center"/>
    </xf>
    <xf numFmtId="164" fontId="5" fillId="0" borderId="3" xfId="1" applyFont="1" applyBorder="1"/>
    <xf numFmtId="0" fontId="0" fillId="2" borderId="0" xfId="0" applyFill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F4D05-2477-431B-9E40-930247BC117E}">
  <dimension ref="A1:M32"/>
  <sheetViews>
    <sheetView tabSelected="1" workbookViewId="0">
      <selection activeCell="C36" sqref="C36"/>
    </sheetView>
  </sheetViews>
  <sheetFormatPr defaultColWidth="13" defaultRowHeight="15"/>
  <sheetData>
    <row r="1" spans="1:13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  <c r="L1" s="3" t="s">
        <v>17</v>
      </c>
      <c r="M1" s="3" t="s">
        <v>18</v>
      </c>
    </row>
    <row r="2" spans="1:13">
      <c r="A2" s="3" t="s">
        <v>19</v>
      </c>
      <c r="B2" s="4" t="s">
        <v>20</v>
      </c>
      <c r="C2" s="4" t="s">
        <v>21</v>
      </c>
      <c r="D2" s="5">
        <v>45870</v>
      </c>
      <c r="E2" s="4">
        <v>2022</v>
      </c>
      <c r="F2" s="4">
        <v>0</v>
      </c>
      <c r="G2" s="4">
        <v>2022</v>
      </c>
      <c r="H2" s="4">
        <v>202.22</v>
      </c>
      <c r="I2" s="4">
        <v>0</v>
      </c>
      <c r="J2" s="4">
        <v>0</v>
      </c>
      <c r="K2" s="4">
        <v>202.22</v>
      </c>
      <c r="L2" s="4">
        <v>1819.78</v>
      </c>
      <c r="M2" s="4">
        <v>1819.78</v>
      </c>
    </row>
    <row r="3" spans="1:13">
      <c r="A3" s="3" t="s">
        <v>19</v>
      </c>
      <c r="B3" s="4" t="s">
        <v>20</v>
      </c>
      <c r="C3" s="4" t="s">
        <v>21</v>
      </c>
      <c r="D3" s="5">
        <v>45871</v>
      </c>
      <c r="E3" s="4">
        <v>193.5</v>
      </c>
      <c r="F3" s="4">
        <v>0</v>
      </c>
      <c r="G3" s="4">
        <v>193.5</v>
      </c>
      <c r="H3" s="4">
        <v>19.350000000000001</v>
      </c>
      <c r="I3" s="4">
        <v>0</v>
      </c>
      <c r="J3" s="4">
        <v>0</v>
      </c>
      <c r="K3" s="4">
        <v>19.350000000000001</v>
      </c>
      <c r="L3" s="4">
        <v>174.15</v>
      </c>
      <c r="M3" s="4">
        <v>0</v>
      </c>
    </row>
    <row r="4" spans="1:13">
      <c r="A4" s="3" t="s">
        <v>19</v>
      </c>
      <c r="B4" s="4" t="s">
        <v>20</v>
      </c>
      <c r="C4" s="4" t="s">
        <v>21</v>
      </c>
      <c r="D4" s="5">
        <v>45872</v>
      </c>
      <c r="E4" s="4">
        <v>2213</v>
      </c>
      <c r="F4" s="4">
        <v>0</v>
      </c>
      <c r="G4" s="4">
        <v>2213</v>
      </c>
      <c r="H4" s="4">
        <v>221.3</v>
      </c>
      <c r="I4" s="4">
        <v>0</v>
      </c>
      <c r="J4" s="4">
        <v>0</v>
      </c>
      <c r="K4" s="4">
        <v>221.3</v>
      </c>
      <c r="L4" s="4">
        <v>2165.85</v>
      </c>
      <c r="M4" s="4">
        <v>2165.85</v>
      </c>
    </row>
    <row r="5" spans="1:13">
      <c r="A5" s="3" t="s">
        <v>19</v>
      </c>
      <c r="B5" s="4" t="s">
        <v>20</v>
      </c>
      <c r="C5" s="4" t="s">
        <v>21</v>
      </c>
      <c r="D5" s="5">
        <v>45873</v>
      </c>
      <c r="E5" s="4">
        <v>1072</v>
      </c>
      <c r="F5" s="4">
        <v>0</v>
      </c>
      <c r="G5" s="4">
        <v>1072</v>
      </c>
      <c r="H5" s="4">
        <v>107.2</v>
      </c>
      <c r="I5" s="4">
        <v>0</v>
      </c>
      <c r="J5" s="4">
        <v>0</v>
      </c>
      <c r="K5" s="4">
        <v>107.2</v>
      </c>
      <c r="L5" s="4">
        <v>964.8</v>
      </c>
      <c r="M5" s="4">
        <v>964.8</v>
      </c>
    </row>
    <row r="6" spans="1:13">
      <c r="A6" s="3" t="s">
        <v>19</v>
      </c>
      <c r="B6" s="4" t="s">
        <v>20</v>
      </c>
      <c r="C6" s="4" t="s">
        <v>21</v>
      </c>
      <c r="D6" s="5">
        <v>45874</v>
      </c>
      <c r="E6" s="4">
        <v>1208.5</v>
      </c>
      <c r="F6" s="4">
        <v>0</v>
      </c>
      <c r="G6" s="4">
        <v>1208.5</v>
      </c>
      <c r="H6" s="4">
        <v>120.85</v>
      </c>
      <c r="I6" s="4">
        <v>0</v>
      </c>
      <c r="J6" s="4">
        <v>0</v>
      </c>
      <c r="K6" s="4">
        <v>120.85</v>
      </c>
      <c r="L6" s="4">
        <v>1087.6500000000001</v>
      </c>
      <c r="M6" s="4">
        <v>1087.6500000000001</v>
      </c>
    </row>
    <row r="7" spans="1:13">
      <c r="A7" s="3" t="s">
        <v>19</v>
      </c>
      <c r="B7" s="4" t="s">
        <v>20</v>
      </c>
      <c r="C7" s="4" t="s">
        <v>21</v>
      </c>
      <c r="D7" s="5">
        <v>45875</v>
      </c>
      <c r="E7" s="4">
        <v>2754</v>
      </c>
      <c r="F7" s="4">
        <v>0</v>
      </c>
      <c r="G7" s="4">
        <v>2754</v>
      </c>
      <c r="H7" s="4">
        <v>275.39999999999998</v>
      </c>
      <c r="I7" s="4">
        <v>0</v>
      </c>
      <c r="J7" s="4">
        <v>0</v>
      </c>
      <c r="K7" s="4">
        <v>275.39999999999998</v>
      </c>
      <c r="L7" s="4">
        <v>2478.6</v>
      </c>
      <c r="M7" s="4">
        <v>2478.6</v>
      </c>
    </row>
    <row r="8" spans="1:13">
      <c r="A8" s="3" t="s">
        <v>19</v>
      </c>
      <c r="B8" s="4" t="s">
        <v>20</v>
      </c>
      <c r="C8" s="4" t="s">
        <v>21</v>
      </c>
      <c r="D8" s="5">
        <v>45876</v>
      </c>
      <c r="E8" s="4">
        <v>1824</v>
      </c>
      <c r="F8" s="4">
        <v>0</v>
      </c>
      <c r="G8" s="4">
        <v>1824</v>
      </c>
      <c r="H8" s="4">
        <v>182.4</v>
      </c>
      <c r="I8" s="4">
        <v>0</v>
      </c>
      <c r="J8" s="4">
        <v>0</v>
      </c>
      <c r="K8" s="4">
        <v>182.4</v>
      </c>
      <c r="L8" s="4">
        <v>1641.6</v>
      </c>
      <c r="M8" s="4">
        <v>1641.6</v>
      </c>
    </row>
    <row r="9" spans="1:13">
      <c r="A9" s="3" t="s">
        <v>19</v>
      </c>
      <c r="B9" s="4" t="s">
        <v>20</v>
      </c>
      <c r="C9" s="4" t="s">
        <v>21</v>
      </c>
      <c r="D9" s="5">
        <v>45877</v>
      </c>
      <c r="E9" s="4">
        <v>1950.5</v>
      </c>
      <c r="F9" s="4">
        <v>0</v>
      </c>
      <c r="G9" s="4">
        <v>1950.5</v>
      </c>
      <c r="H9" s="4">
        <v>195.05</v>
      </c>
      <c r="I9" s="4">
        <v>0</v>
      </c>
      <c r="J9" s="4">
        <v>189</v>
      </c>
      <c r="K9" s="4">
        <v>195.05</v>
      </c>
      <c r="L9" s="4">
        <v>1755.45</v>
      </c>
      <c r="M9" s="4">
        <v>1755.45</v>
      </c>
    </row>
    <row r="10" spans="1:13">
      <c r="A10" s="3" t="s">
        <v>19</v>
      </c>
      <c r="B10" s="4" t="s">
        <v>20</v>
      </c>
      <c r="C10" s="4" t="s">
        <v>21</v>
      </c>
      <c r="D10" s="5">
        <v>45878</v>
      </c>
      <c r="E10" s="4">
        <v>2349</v>
      </c>
      <c r="F10" s="4">
        <v>0</v>
      </c>
      <c r="G10" s="4">
        <v>2349</v>
      </c>
      <c r="H10" s="4">
        <v>234.9</v>
      </c>
      <c r="I10" s="4">
        <v>0</v>
      </c>
      <c r="J10" s="4">
        <v>0</v>
      </c>
      <c r="K10" s="4">
        <v>234.9</v>
      </c>
      <c r="L10" s="4">
        <v>2114.1</v>
      </c>
      <c r="M10" s="4">
        <v>2114.1</v>
      </c>
    </row>
    <row r="11" spans="1:13">
      <c r="A11" s="3" t="s">
        <v>19</v>
      </c>
      <c r="B11" s="4" t="s">
        <v>20</v>
      </c>
      <c r="C11" s="4" t="s">
        <v>21</v>
      </c>
      <c r="D11" s="5">
        <v>45879</v>
      </c>
      <c r="E11" s="4">
        <v>2497.5</v>
      </c>
      <c r="F11" s="4">
        <v>0</v>
      </c>
      <c r="G11" s="4">
        <v>2497.5</v>
      </c>
      <c r="H11" s="4">
        <v>249.75</v>
      </c>
      <c r="I11" s="4">
        <v>0</v>
      </c>
      <c r="J11" s="4">
        <v>0</v>
      </c>
      <c r="K11" s="4">
        <v>249.75</v>
      </c>
      <c r="L11" s="4">
        <v>2247.75</v>
      </c>
      <c r="M11" s="4">
        <v>2247.75</v>
      </c>
    </row>
    <row r="12" spans="1:13">
      <c r="A12" s="3" t="s">
        <v>19</v>
      </c>
      <c r="B12" s="4" t="s">
        <v>20</v>
      </c>
      <c r="C12" s="4" t="s">
        <v>21</v>
      </c>
      <c r="D12" s="5">
        <v>45880</v>
      </c>
      <c r="E12" s="4">
        <v>1858.5</v>
      </c>
      <c r="F12" s="4">
        <v>0</v>
      </c>
      <c r="G12" s="4">
        <v>1858.5</v>
      </c>
      <c r="H12" s="4">
        <v>185.87</v>
      </c>
      <c r="I12" s="4">
        <v>71.48</v>
      </c>
      <c r="J12" s="4">
        <v>189</v>
      </c>
      <c r="K12" s="4">
        <v>257.35000000000002</v>
      </c>
      <c r="L12" s="4">
        <v>1601.15</v>
      </c>
      <c r="M12" s="4">
        <v>1601.15</v>
      </c>
    </row>
    <row r="13" spans="1:13">
      <c r="A13" s="3" t="s">
        <v>19</v>
      </c>
      <c r="B13" s="4" t="s">
        <v>20</v>
      </c>
      <c r="C13" s="4" t="s">
        <v>21</v>
      </c>
      <c r="D13" s="5">
        <v>45881</v>
      </c>
      <c r="E13" s="4">
        <v>2765</v>
      </c>
      <c r="F13" s="4">
        <v>0</v>
      </c>
      <c r="G13" s="4">
        <v>2765</v>
      </c>
      <c r="H13" s="4">
        <v>276.51</v>
      </c>
      <c r="I13" s="4">
        <v>321</v>
      </c>
      <c r="J13" s="4">
        <v>0</v>
      </c>
      <c r="K13" s="4">
        <v>597.51</v>
      </c>
      <c r="L13" s="4">
        <v>2167.4899999999998</v>
      </c>
      <c r="M13" s="4">
        <v>2167.4899999999998</v>
      </c>
    </row>
    <row r="14" spans="1:13">
      <c r="A14" s="3" t="s">
        <v>19</v>
      </c>
      <c r="B14" s="4" t="s">
        <v>20</v>
      </c>
      <c r="C14" s="4" t="s">
        <v>21</v>
      </c>
      <c r="D14" s="5">
        <v>45882</v>
      </c>
      <c r="E14" s="4">
        <v>2290</v>
      </c>
      <c r="F14" s="4">
        <v>0</v>
      </c>
      <c r="G14" s="4">
        <v>2290</v>
      </c>
      <c r="H14" s="4">
        <v>229</v>
      </c>
      <c r="I14" s="4">
        <v>107.43</v>
      </c>
      <c r="J14" s="4">
        <v>0</v>
      </c>
      <c r="K14" s="4">
        <v>336.43</v>
      </c>
      <c r="L14" s="4">
        <v>1953.57</v>
      </c>
      <c r="M14" s="4">
        <v>1953.57</v>
      </c>
    </row>
    <row r="15" spans="1:13">
      <c r="A15" s="3" t="s">
        <v>19</v>
      </c>
      <c r="B15" s="4" t="s">
        <v>20</v>
      </c>
      <c r="C15" s="4" t="s">
        <v>21</v>
      </c>
      <c r="D15" s="5">
        <v>45883</v>
      </c>
      <c r="E15" s="4">
        <v>1469</v>
      </c>
      <c r="F15" s="4">
        <v>0</v>
      </c>
      <c r="G15" s="4">
        <v>1469</v>
      </c>
      <c r="H15" s="4">
        <v>146.9</v>
      </c>
      <c r="I15" s="4">
        <v>0</v>
      </c>
      <c r="J15" s="4">
        <v>0</v>
      </c>
      <c r="K15" s="4">
        <v>146.9</v>
      </c>
      <c r="L15" s="4">
        <v>1322.1</v>
      </c>
      <c r="M15" s="4">
        <v>1322.1</v>
      </c>
    </row>
    <row r="16" spans="1:13">
      <c r="A16" s="3" t="s">
        <v>19</v>
      </c>
      <c r="B16" s="4" t="s">
        <v>20</v>
      </c>
      <c r="C16" s="4" t="s">
        <v>21</v>
      </c>
      <c r="D16" s="5">
        <v>45884</v>
      </c>
      <c r="E16" s="4">
        <v>3142.5</v>
      </c>
      <c r="F16" s="4">
        <v>0</v>
      </c>
      <c r="G16" s="4">
        <v>3142.5</v>
      </c>
      <c r="H16" s="4">
        <v>314.25</v>
      </c>
      <c r="I16" s="4">
        <v>0</v>
      </c>
      <c r="J16" s="4">
        <v>0</v>
      </c>
      <c r="K16" s="4">
        <v>314.25</v>
      </c>
      <c r="L16" s="4">
        <v>2828.25</v>
      </c>
      <c r="M16" s="4">
        <v>2828.25</v>
      </c>
    </row>
    <row r="17" spans="1:13">
      <c r="A17" s="3" t="s">
        <v>19</v>
      </c>
      <c r="B17" s="4" t="s">
        <v>20</v>
      </c>
      <c r="C17" s="4" t="s">
        <v>21</v>
      </c>
      <c r="D17" s="5">
        <v>45885</v>
      </c>
      <c r="E17" s="4">
        <v>247.5</v>
      </c>
      <c r="F17" s="4">
        <v>0</v>
      </c>
      <c r="G17" s="4">
        <v>247.5</v>
      </c>
      <c r="H17" s="4">
        <v>24.75</v>
      </c>
      <c r="I17" s="4">
        <v>0</v>
      </c>
      <c r="J17" s="4">
        <v>0</v>
      </c>
      <c r="K17" s="4">
        <v>24.75</v>
      </c>
      <c r="L17" s="4">
        <v>222.75</v>
      </c>
      <c r="M17" s="4">
        <v>0</v>
      </c>
    </row>
    <row r="18" spans="1:13">
      <c r="A18" s="3" t="s">
        <v>19</v>
      </c>
      <c r="B18" s="4" t="s">
        <v>20</v>
      </c>
      <c r="C18" s="4" t="s">
        <v>21</v>
      </c>
      <c r="D18" s="5">
        <v>45886</v>
      </c>
      <c r="E18" s="4">
        <v>1735.5</v>
      </c>
      <c r="F18" s="4">
        <v>0</v>
      </c>
      <c r="G18" s="4">
        <v>1735.5</v>
      </c>
      <c r="H18" s="4">
        <v>173.55</v>
      </c>
      <c r="I18" s="4">
        <v>0</v>
      </c>
      <c r="J18" s="4">
        <v>0</v>
      </c>
      <c r="K18" s="4">
        <v>173.55</v>
      </c>
      <c r="L18" s="4">
        <v>1784.7</v>
      </c>
      <c r="M18" s="4">
        <v>1784.7</v>
      </c>
    </row>
    <row r="19" spans="1:13">
      <c r="A19" s="3" t="s">
        <v>19</v>
      </c>
      <c r="B19" s="4" t="s">
        <v>20</v>
      </c>
      <c r="C19" s="4" t="s">
        <v>21</v>
      </c>
      <c r="D19" s="5">
        <v>45887</v>
      </c>
      <c r="E19" s="4">
        <v>3123</v>
      </c>
      <c r="F19" s="4">
        <v>0</v>
      </c>
      <c r="G19" s="4">
        <v>3123</v>
      </c>
      <c r="H19" s="4">
        <v>312.31</v>
      </c>
      <c r="I19" s="4">
        <v>0</v>
      </c>
      <c r="J19" s="4">
        <v>0</v>
      </c>
      <c r="K19" s="4">
        <v>312.31</v>
      </c>
      <c r="L19" s="4">
        <v>2810.69</v>
      </c>
      <c r="M19" s="4">
        <v>2810.69</v>
      </c>
    </row>
    <row r="20" spans="1:13">
      <c r="A20" s="3" t="s">
        <v>19</v>
      </c>
      <c r="B20" s="4" t="s">
        <v>20</v>
      </c>
      <c r="C20" s="4" t="s">
        <v>21</v>
      </c>
      <c r="D20" s="5">
        <v>45888</v>
      </c>
      <c r="E20" s="4">
        <v>1417.5</v>
      </c>
      <c r="F20" s="4">
        <v>0</v>
      </c>
      <c r="G20" s="4">
        <v>1417.5</v>
      </c>
      <c r="H20" s="4">
        <v>141.76</v>
      </c>
      <c r="I20" s="4">
        <v>0</v>
      </c>
      <c r="J20" s="4">
        <v>0</v>
      </c>
      <c r="K20" s="4">
        <v>141.76</v>
      </c>
      <c r="L20" s="4">
        <v>1275.74</v>
      </c>
      <c r="M20" s="4">
        <v>1275.74</v>
      </c>
    </row>
    <row r="21" spans="1:13">
      <c r="A21" s="3" t="s">
        <v>19</v>
      </c>
      <c r="B21" s="4" t="s">
        <v>20</v>
      </c>
      <c r="C21" s="4" t="s">
        <v>21</v>
      </c>
      <c r="D21" s="5">
        <v>45889</v>
      </c>
      <c r="E21" s="4">
        <v>2395</v>
      </c>
      <c r="F21" s="4">
        <v>0</v>
      </c>
      <c r="G21" s="4">
        <v>2395</v>
      </c>
      <c r="H21" s="4">
        <v>239.52</v>
      </c>
      <c r="I21" s="4">
        <v>0</v>
      </c>
      <c r="J21" s="4">
        <v>0</v>
      </c>
      <c r="K21" s="4">
        <v>239.52</v>
      </c>
      <c r="L21" s="4">
        <v>2155.48</v>
      </c>
      <c r="M21" s="4">
        <v>2155.48</v>
      </c>
    </row>
    <row r="22" spans="1:13">
      <c r="A22" s="3" t="s">
        <v>19</v>
      </c>
      <c r="B22" s="4" t="s">
        <v>20</v>
      </c>
      <c r="C22" s="4" t="s">
        <v>21</v>
      </c>
      <c r="D22" s="5">
        <v>45890</v>
      </c>
      <c r="E22" s="4">
        <v>2932.5</v>
      </c>
      <c r="F22" s="4">
        <v>0</v>
      </c>
      <c r="G22" s="4">
        <v>2932.5</v>
      </c>
      <c r="H22" s="4">
        <v>293.25</v>
      </c>
      <c r="I22" s="4">
        <v>0</v>
      </c>
      <c r="J22" s="4">
        <v>0</v>
      </c>
      <c r="K22" s="4">
        <v>293.25</v>
      </c>
      <c r="L22" s="4">
        <v>2639.25</v>
      </c>
      <c r="M22" s="4">
        <v>2639.25</v>
      </c>
    </row>
    <row r="23" spans="1:13">
      <c r="A23" s="3" t="s">
        <v>19</v>
      </c>
      <c r="B23" s="4" t="s">
        <v>20</v>
      </c>
      <c r="C23" s="4" t="s">
        <v>21</v>
      </c>
      <c r="D23" s="5">
        <v>45891</v>
      </c>
      <c r="E23" s="4">
        <v>1196</v>
      </c>
      <c r="F23" s="4">
        <v>0</v>
      </c>
      <c r="G23" s="4">
        <v>1196</v>
      </c>
      <c r="H23" s="4">
        <v>119.6</v>
      </c>
      <c r="I23" s="4">
        <v>0</v>
      </c>
      <c r="J23" s="4">
        <v>0</v>
      </c>
      <c r="K23" s="4">
        <v>119.6</v>
      </c>
      <c r="L23" s="4">
        <v>1076.4000000000001</v>
      </c>
      <c r="M23" s="4">
        <v>1076.4000000000001</v>
      </c>
    </row>
    <row r="24" spans="1:13">
      <c r="A24" s="3" t="s">
        <v>19</v>
      </c>
      <c r="B24" s="4" t="s">
        <v>20</v>
      </c>
      <c r="C24" s="4" t="s">
        <v>21</v>
      </c>
      <c r="D24" s="5">
        <v>45892</v>
      </c>
      <c r="E24" s="4">
        <v>2578.5</v>
      </c>
      <c r="F24" s="4">
        <v>0</v>
      </c>
      <c r="G24" s="4">
        <v>2578.5</v>
      </c>
      <c r="H24" s="4">
        <v>257.85000000000002</v>
      </c>
      <c r="I24" s="4">
        <v>0</v>
      </c>
      <c r="J24" s="4">
        <v>0</v>
      </c>
      <c r="K24" s="4">
        <v>257.85000000000002</v>
      </c>
      <c r="L24" s="4">
        <v>2320.65</v>
      </c>
      <c r="M24" s="4">
        <v>2320.65</v>
      </c>
    </row>
    <row r="25" spans="1:13">
      <c r="A25" s="3" t="s">
        <v>19</v>
      </c>
      <c r="B25" s="4" t="s">
        <v>20</v>
      </c>
      <c r="C25" s="4" t="s">
        <v>21</v>
      </c>
      <c r="D25" s="5">
        <v>45893</v>
      </c>
      <c r="E25" s="4">
        <v>2719.5</v>
      </c>
      <c r="F25" s="4">
        <v>0</v>
      </c>
      <c r="G25" s="4">
        <v>2719.5</v>
      </c>
      <c r="H25" s="4">
        <v>271.95999999999998</v>
      </c>
      <c r="I25" s="4">
        <v>0</v>
      </c>
      <c r="J25" s="4">
        <v>0</v>
      </c>
      <c r="K25" s="4">
        <v>271.95999999999998</v>
      </c>
      <c r="L25" s="4">
        <v>2447.54</v>
      </c>
      <c r="M25" s="4">
        <v>2447.54</v>
      </c>
    </row>
    <row r="26" spans="1:13">
      <c r="A26" s="3" t="s">
        <v>19</v>
      </c>
      <c r="B26" s="4" t="s">
        <v>20</v>
      </c>
      <c r="C26" s="4" t="s">
        <v>21</v>
      </c>
      <c r="D26" s="5">
        <v>45894</v>
      </c>
      <c r="E26" s="4">
        <v>1833.5</v>
      </c>
      <c r="F26" s="4">
        <v>0</v>
      </c>
      <c r="G26" s="4">
        <v>1833.5</v>
      </c>
      <c r="H26" s="4">
        <v>183.35</v>
      </c>
      <c r="I26" s="4">
        <v>0</v>
      </c>
      <c r="J26" s="4">
        <v>0</v>
      </c>
      <c r="K26" s="4">
        <v>183.35</v>
      </c>
      <c r="L26" s="4">
        <v>1650.15</v>
      </c>
      <c r="M26" s="4">
        <v>1650.15</v>
      </c>
    </row>
    <row r="27" spans="1:13">
      <c r="A27" s="3" t="s">
        <v>19</v>
      </c>
      <c r="B27" s="4" t="s">
        <v>20</v>
      </c>
      <c r="C27" s="4" t="s">
        <v>21</v>
      </c>
      <c r="D27" s="5">
        <v>45895</v>
      </c>
      <c r="E27" s="4">
        <v>3528</v>
      </c>
      <c r="F27" s="4">
        <v>0</v>
      </c>
      <c r="G27" s="4">
        <v>3528</v>
      </c>
      <c r="H27" s="4">
        <v>352.8</v>
      </c>
      <c r="I27" s="4">
        <v>0</v>
      </c>
      <c r="J27" s="4">
        <v>0</v>
      </c>
      <c r="K27" s="4">
        <v>352.8</v>
      </c>
      <c r="L27" s="4">
        <v>3175.2</v>
      </c>
      <c r="M27" s="4">
        <v>3175.2</v>
      </c>
    </row>
    <row r="28" spans="1:13">
      <c r="A28" s="3" t="s">
        <v>19</v>
      </c>
      <c r="B28" s="4" t="s">
        <v>20</v>
      </c>
      <c r="C28" s="4" t="s">
        <v>21</v>
      </c>
      <c r="D28" s="5">
        <v>45896</v>
      </c>
      <c r="E28" s="4">
        <v>4079.5</v>
      </c>
      <c r="F28" s="4">
        <v>0</v>
      </c>
      <c r="G28" s="4">
        <v>4079.5</v>
      </c>
      <c r="H28" s="4">
        <v>407.96</v>
      </c>
      <c r="I28" s="4">
        <v>0</v>
      </c>
      <c r="J28" s="4">
        <v>0</v>
      </c>
      <c r="K28" s="4">
        <v>407.96</v>
      </c>
      <c r="L28" s="4">
        <v>3671.54</v>
      </c>
      <c r="M28" s="4">
        <v>3671.54</v>
      </c>
    </row>
    <row r="29" spans="1:13">
      <c r="A29" s="3" t="s">
        <v>19</v>
      </c>
      <c r="B29" s="4" t="s">
        <v>20</v>
      </c>
      <c r="C29" s="4" t="s">
        <v>21</v>
      </c>
      <c r="D29" s="5">
        <v>45897</v>
      </c>
      <c r="E29" s="4">
        <v>2187</v>
      </c>
      <c r="F29" s="4">
        <v>0</v>
      </c>
      <c r="G29" s="4">
        <v>2187</v>
      </c>
      <c r="H29" s="4">
        <v>218.72</v>
      </c>
      <c r="I29" s="4">
        <v>0</v>
      </c>
      <c r="J29" s="4">
        <v>243</v>
      </c>
      <c r="K29" s="4">
        <v>218.72</v>
      </c>
      <c r="L29" s="4">
        <v>1968.28</v>
      </c>
      <c r="M29" s="4">
        <v>1968.28</v>
      </c>
    </row>
    <row r="30" spans="1:13">
      <c r="A30" s="3" t="s">
        <v>19</v>
      </c>
      <c r="B30" s="4" t="s">
        <v>20</v>
      </c>
      <c r="C30" s="4" t="s">
        <v>21</v>
      </c>
      <c r="D30" s="5">
        <v>45898</v>
      </c>
      <c r="E30" s="4">
        <v>3509.5</v>
      </c>
      <c r="F30" s="4">
        <v>0</v>
      </c>
      <c r="G30" s="4">
        <v>3509.5</v>
      </c>
      <c r="H30" s="4">
        <v>350.95</v>
      </c>
      <c r="I30" s="4">
        <v>0</v>
      </c>
      <c r="J30" s="4">
        <v>0</v>
      </c>
      <c r="K30" s="4">
        <v>350.95</v>
      </c>
      <c r="L30" s="4">
        <v>3158.55</v>
      </c>
      <c r="M30" s="4">
        <v>3158.55</v>
      </c>
    </row>
    <row r="31" spans="1:13">
      <c r="A31" s="3" t="s">
        <v>19</v>
      </c>
      <c r="B31" s="4" t="s">
        <v>20</v>
      </c>
      <c r="C31" s="4" t="s">
        <v>21</v>
      </c>
      <c r="D31" s="5">
        <v>45899</v>
      </c>
      <c r="E31" s="4">
        <v>1838</v>
      </c>
      <c r="F31" s="4">
        <v>0</v>
      </c>
      <c r="G31" s="4">
        <v>1838</v>
      </c>
      <c r="H31" s="4">
        <v>183.8</v>
      </c>
      <c r="I31" s="4">
        <v>0</v>
      </c>
      <c r="J31" s="4">
        <v>0</v>
      </c>
      <c r="K31" s="4">
        <v>183.8</v>
      </c>
      <c r="L31" s="4">
        <v>1654.2</v>
      </c>
      <c r="M31" s="4">
        <v>1654.2</v>
      </c>
    </row>
    <row r="32" spans="1:13">
      <c r="A32" s="3" t="s">
        <v>19</v>
      </c>
      <c r="B32" s="4" t="s">
        <v>20</v>
      </c>
      <c r="C32" s="4" t="s">
        <v>21</v>
      </c>
      <c r="D32" s="5">
        <v>45900</v>
      </c>
      <c r="E32" s="4">
        <v>1116</v>
      </c>
      <c r="F32" s="4">
        <v>0</v>
      </c>
      <c r="G32" s="4">
        <v>1116</v>
      </c>
      <c r="H32" s="4">
        <v>111.6</v>
      </c>
      <c r="I32" s="4">
        <v>0</v>
      </c>
      <c r="J32" s="4">
        <v>0</v>
      </c>
      <c r="K32" s="4">
        <v>111.6</v>
      </c>
      <c r="L32" s="4">
        <v>1004.4</v>
      </c>
      <c r="M32" s="4">
        <v>1004.4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2A524-F387-4932-800E-A309809DE7F7}">
  <dimension ref="A1:E38"/>
  <sheetViews>
    <sheetView workbookViewId="0">
      <selection activeCell="B4" sqref="B4:B34"/>
    </sheetView>
  </sheetViews>
  <sheetFormatPr defaultRowHeight="15"/>
  <cols>
    <col min="1" max="1" width="11.5703125" customWidth="1"/>
    <col min="2" max="2" width="16.85546875" customWidth="1"/>
    <col min="3" max="3" width="14.28515625" customWidth="1"/>
    <col min="4" max="4" width="15.85546875" customWidth="1"/>
    <col min="5" max="5" width="16.85546875" customWidth="1"/>
  </cols>
  <sheetData>
    <row r="1" spans="1:5">
      <c r="A1" s="13" t="s">
        <v>0</v>
      </c>
      <c r="B1" s="13"/>
      <c r="C1" s="13"/>
      <c r="D1" s="13"/>
      <c r="E1" s="13"/>
    </row>
    <row r="2" spans="1:5">
      <c r="A2" s="13"/>
      <c r="B2" s="13"/>
      <c r="C2" s="13"/>
      <c r="D2" s="13"/>
      <c r="E2" s="13"/>
    </row>
    <row r="3" spans="1:5" s="1" customFormat="1" ht="20.25" customHeight="1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</row>
    <row r="4" spans="1:5">
      <c r="A4" s="7">
        <v>244197</v>
      </c>
      <c r="B4" s="8" t="s">
        <v>23</v>
      </c>
      <c r="C4" s="9">
        <v>2022</v>
      </c>
      <c r="D4" s="9">
        <f>C4*100/107</f>
        <v>1889.7196261682243</v>
      </c>
      <c r="E4" s="9">
        <f>D4*0.07</f>
        <v>132.28037383177571</v>
      </c>
    </row>
    <row r="5" spans="1:5">
      <c r="A5" s="7">
        <v>244198</v>
      </c>
      <c r="B5" s="8" t="s">
        <v>24</v>
      </c>
      <c r="C5" s="9">
        <v>193.5</v>
      </c>
      <c r="D5" s="9">
        <f t="shared" ref="D5:D34" si="0">C5*100/107</f>
        <v>180.84112149532712</v>
      </c>
      <c r="E5" s="9">
        <f t="shared" ref="E5:E33" si="1">D5*0.07</f>
        <v>12.658878504672899</v>
      </c>
    </row>
    <row r="6" spans="1:5">
      <c r="A6" s="7">
        <v>244199</v>
      </c>
      <c r="B6" s="8" t="s">
        <v>25</v>
      </c>
      <c r="C6" s="9">
        <v>2213</v>
      </c>
      <c r="D6" s="9">
        <f t="shared" si="0"/>
        <v>2068.2242990654204</v>
      </c>
      <c r="E6" s="9">
        <f t="shared" si="1"/>
        <v>144.77570093457945</v>
      </c>
    </row>
    <row r="7" spans="1:5">
      <c r="A7" s="7">
        <v>244200</v>
      </c>
      <c r="B7" s="8" t="s">
        <v>26</v>
      </c>
      <c r="C7" s="9">
        <v>1072</v>
      </c>
      <c r="D7" s="9">
        <f t="shared" si="0"/>
        <v>1001.8691588785047</v>
      </c>
      <c r="E7" s="9">
        <f t="shared" si="1"/>
        <v>70.130841121495337</v>
      </c>
    </row>
    <row r="8" spans="1:5">
      <c r="A8" s="7">
        <v>244201</v>
      </c>
      <c r="B8" s="8" t="s">
        <v>27</v>
      </c>
      <c r="C8" s="9">
        <v>1208.5</v>
      </c>
      <c r="D8" s="9">
        <f t="shared" si="0"/>
        <v>1129.4392523364486</v>
      </c>
      <c r="E8" s="9">
        <f t="shared" si="1"/>
        <v>79.06074766355141</v>
      </c>
    </row>
    <row r="9" spans="1:5">
      <c r="A9" s="7">
        <v>244202</v>
      </c>
      <c r="B9" s="8" t="s">
        <v>28</v>
      </c>
      <c r="C9" s="9">
        <v>2754</v>
      </c>
      <c r="D9" s="9">
        <f t="shared" si="0"/>
        <v>2573.8317757009345</v>
      </c>
      <c r="E9" s="9">
        <f t="shared" si="1"/>
        <v>180.16822429906543</v>
      </c>
    </row>
    <row r="10" spans="1:5">
      <c r="A10" s="7">
        <v>244203</v>
      </c>
      <c r="B10" s="8" t="s">
        <v>29</v>
      </c>
      <c r="C10" s="9">
        <v>1824</v>
      </c>
      <c r="D10" s="9">
        <f t="shared" si="0"/>
        <v>1704.6728971962616</v>
      </c>
      <c r="E10" s="9">
        <f t="shared" si="1"/>
        <v>119.32710280373833</v>
      </c>
    </row>
    <row r="11" spans="1:5">
      <c r="A11" s="7">
        <v>244204</v>
      </c>
      <c r="B11" s="8" t="s">
        <v>30</v>
      </c>
      <c r="C11" s="9">
        <v>1950.5</v>
      </c>
      <c r="D11" s="9">
        <f t="shared" si="0"/>
        <v>1822.8971962616822</v>
      </c>
      <c r="E11" s="9">
        <f t="shared" si="1"/>
        <v>127.60280373831776</v>
      </c>
    </row>
    <row r="12" spans="1:5">
      <c r="A12" s="7">
        <v>244205</v>
      </c>
      <c r="B12" s="8" t="s">
        <v>31</v>
      </c>
      <c r="C12" s="9">
        <v>2349</v>
      </c>
      <c r="D12" s="9">
        <f t="shared" si="0"/>
        <v>2195.3271028037384</v>
      </c>
      <c r="E12" s="9">
        <f t="shared" si="1"/>
        <v>153.67289719626172</v>
      </c>
    </row>
    <row r="13" spans="1:5">
      <c r="A13" s="7">
        <v>244206</v>
      </c>
      <c r="B13" s="8" t="s">
        <v>32</v>
      </c>
      <c r="C13" s="9">
        <v>2497.5</v>
      </c>
      <c r="D13" s="9">
        <f t="shared" si="0"/>
        <v>2334.1121495327102</v>
      </c>
      <c r="E13" s="9">
        <f t="shared" si="1"/>
        <v>163.38785046728972</v>
      </c>
    </row>
    <row r="14" spans="1:5">
      <c r="A14" s="7">
        <v>244207</v>
      </c>
      <c r="B14" s="8" t="s">
        <v>33</v>
      </c>
      <c r="C14" s="9">
        <v>1858.5</v>
      </c>
      <c r="D14" s="9">
        <f t="shared" si="0"/>
        <v>1736.9158878504672</v>
      </c>
      <c r="E14" s="9">
        <f t="shared" si="1"/>
        <v>121.58411214953271</v>
      </c>
    </row>
    <row r="15" spans="1:5">
      <c r="A15" s="7">
        <v>244208</v>
      </c>
      <c r="B15" s="8" t="s">
        <v>34</v>
      </c>
      <c r="C15" s="9">
        <v>2765</v>
      </c>
      <c r="D15" s="9">
        <f t="shared" si="0"/>
        <v>2584.1121495327102</v>
      </c>
      <c r="E15" s="9">
        <f t="shared" si="1"/>
        <v>180.88785046728972</v>
      </c>
    </row>
    <row r="16" spans="1:5">
      <c r="A16" s="7">
        <v>244209</v>
      </c>
      <c r="B16" s="8" t="s">
        <v>35</v>
      </c>
      <c r="C16" s="9">
        <v>2290</v>
      </c>
      <c r="D16" s="9">
        <f t="shared" si="0"/>
        <v>2140.1869158878503</v>
      </c>
      <c r="E16" s="9">
        <f t="shared" si="1"/>
        <v>149.81308411214954</v>
      </c>
    </row>
    <row r="17" spans="1:5">
      <c r="A17" s="7">
        <v>244210</v>
      </c>
      <c r="B17" s="8" t="s">
        <v>36</v>
      </c>
      <c r="C17" s="9">
        <v>1469</v>
      </c>
      <c r="D17" s="9">
        <f t="shared" si="0"/>
        <v>1372.8971962616822</v>
      </c>
      <c r="E17" s="9">
        <f t="shared" si="1"/>
        <v>96.10280373831776</v>
      </c>
    </row>
    <row r="18" spans="1:5">
      <c r="A18" s="7">
        <v>244211</v>
      </c>
      <c r="B18" s="8" t="s">
        <v>37</v>
      </c>
      <c r="C18" s="9">
        <v>3142.5</v>
      </c>
      <c r="D18" s="9">
        <f t="shared" si="0"/>
        <v>2936.9158878504672</v>
      </c>
      <c r="E18" s="9">
        <f t="shared" si="1"/>
        <v>205.58411214953273</v>
      </c>
    </row>
    <row r="19" spans="1:5">
      <c r="A19" s="7">
        <v>244212</v>
      </c>
      <c r="B19" s="8" t="s">
        <v>38</v>
      </c>
      <c r="C19" s="9">
        <v>247.5</v>
      </c>
      <c r="D19" s="9">
        <f t="shared" si="0"/>
        <v>231.30841121495328</v>
      </c>
      <c r="E19" s="9">
        <f t="shared" si="1"/>
        <v>16.191588785046733</v>
      </c>
    </row>
    <row r="20" spans="1:5">
      <c r="A20" s="7">
        <v>244213</v>
      </c>
      <c r="B20" s="8" t="s">
        <v>39</v>
      </c>
      <c r="C20" s="9">
        <v>1735.5</v>
      </c>
      <c r="D20" s="9">
        <f t="shared" si="0"/>
        <v>1621.9626168224299</v>
      </c>
      <c r="E20" s="9">
        <f t="shared" si="1"/>
        <v>113.53738317757011</v>
      </c>
    </row>
    <row r="21" spans="1:5">
      <c r="A21" s="7">
        <v>244214</v>
      </c>
      <c r="B21" s="8" t="s">
        <v>40</v>
      </c>
      <c r="C21" s="9">
        <v>3123</v>
      </c>
      <c r="D21" s="9">
        <f t="shared" si="0"/>
        <v>2918.6915887850469</v>
      </c>
      <c r="E21" s="9">
        <f t="shared" si="1"/>
        <v>204.30841121495331</v>
      </c>
    </row>
    <row r="22" spans="1:5">
      <c r="A22" s="7">
        <v>244215</v>
      </c>
      <c r="B22" s="8" t="s">
        <v>41</v>
      </c>
      <c r="C22" s="9">
        <v>1417.5</v>
      </c>
      <c r="D22" s="9">
        <f t="shared" si="0"/>
        <v>1324.766355140187</v>
      </c>
      <c r="E22" s="9">
        <f t="shared" si="1"/>
        <v>92.733644859813097</v>
      </c>
    </row>
    <row r="23" spans="1:5">
      <c r="A23" s="7">
        <v>244216</v>
      </c>
      <c r="B23" s="8" t="s">
        <v>42</v>
      </c>
      <c r="C23" s="9">
        <v>2395</v>
      </c>
      <c r="D23" s="9">
        <f t="shared" si="0"/>
        <v>2238.3177570093458</v>
      </c>
      <c r="E23" s="9">
        <f t="shared" si="1"/>
        <v>156.68224299065423</v>
      </c>
    </row>
    <row r="24" spans="1:5">
      <c r="A24" s="7">
        <v>244217</v>
      </c>
      <c r="B24" s="8" t="s">
        <v>43</v>
      </c>
      <c r="C24" s="9">
        <v>2932.5</v>
      </c>
      <c r="D24" s="9">
        <f t="shared" si="0"/>
        <v>2740.6542056074768</v>
      </c>
      <c r="E24" s="9">
        <f t="shared" si="1"/>
        <v>191.8457943925234</v>
      </c>
    </row>
    <row r="25" spans="1:5">
      <c r="A25" s="7">
        <v>244218</v>
      </c>
      <c r="B25" s="8" t="s">
        <v>44</v>
      </c>
      <c r="C25" s="9">
        <v>1196</v>
      </c>
      <c r="D25" s="9">
        <f t="shared" si="0"/>
        <v>1117.7570093457944</v>
      </c>
      <c r="E25" s="9">
        <f t="shared" si="1"/>
        <v>78.242990654205613</v>
      </c>
    </row>
    <row r="26" spans="1:5">
      <c r="A26" s="7">
        <v>244219</v>
      </c>
      <c r="B26" s="8" t="s">
        <v>45</v>
      </c>
      <c r="C26" s="9">
        <v>2578.5</v>
      </c>
      <c r="D26" s="9">
        <f t="shared" si="0"/>
        <v>2409.8130841121497</v>
      </c>
      <c r="E26" s="9">
        <f t="shared" si="1"/>
        <v>168.68691588785049</v>
      </c>
    </row>
    <row r="27" spans="1:5">
      <c r="A27" s="7">
        <v>244220</v>
      </c>
      <c r="B27" s="8" t="s">
        <v>46</v>
      </c>
      <c r="C27" s="9">
        <v>2719.5</v>
      </c>
      <c r="D27" s="9">
        <f t="shared" si="0"/>
        <v>2541.5887850467288</v>
      </c>
      <c r="E27" s="9">
        <f t="shared" si="1"/>
        <v>177.91121495327104</v>
      </c>
    </row>
    <row r="28" spans="1:5">
      <c r="A28" s="7">
        <v>244221</v>
      </c>
      <c r="B28" s="8" t="s">
        <v>47</v>
      </c>
      <c r="C28" s="9">
        <v>1833.5</v>
      </c>
      <c r="D28" s="9">
        <f t="shared" si="0"/>
        <v>1713.5514018691588</v>
      </c>
      <c r="E28" s="9">
        <f t="shared" si="1"/>
        <v>119.94859813084112</v>
      </c>
    </row>
    <row r="29" spans="1:5">
      <c r="A29" s="7">
        <v>244222</v>
      </c>
      <c r="B29" s="8" t="s">
        <v>48</v>
      </c>
      <c r="C29" s="9">
        <v>3528</v>
      </c>
      <c r="D29" s="9">
        <f t="shared" si="0"/>
        <v>3297.1962616822429</v>
      </c>
      <c r="E29" s="9">
        <f t="shared" si="1"/>
        <v>230.80373831775702</v>
      </c>
    </row>
    <row r="30" spans="1:5">
      <c r="A30" s="7">
        <v>244223</v>
      </c>
      <c r="B30" s="8" t="s">
        <v>49</v>
      </c>
      <c r="C30" s="9">
        <v>4079.5</v>
      </c>
      <c r="D30" s="9">
        <f t="shared" si="0"/>
        <v>3812.6168224299067</v>
      </c>
      <c r="E30" s="9">
        <f t="shared" si="1"/>
        <v>266.88317757009349</v>
      </c>
    </row>
    <row r="31" spans="1:5">
      <c r="A31" s="7">
        <v>244224</v>
      </c>
      <c r="B31" s="8" t="s">
        <v>50</v>
      </c>
      <c r="C31" s="9">
        <v>2187</v>
      </c>
      <c r="D31" s="9">
        <f t="shared" si="0"/>
        <v>2043.9252336448599</v>
      </c>
      <c r="E31" s="9">
        <f t="shared" si="1"/>
        <v>143.07476635514021</v>
      </c>
    </row>
    <row r="32" spans="1:5">
      <c r="A32" s="7">
        <v>244225</v>
      </c>
      <c r="B32" s="8" t="s">
        <v>51</v>
      </c>
      <c r="C32" s="9">
        <v>3509.5</v>
      </c>
      <c r="D32" s="9">
        <f t="shared" si="0"/>
        <v>3279.9065420560746</v>
      </c>
      <c r="E32" s="9">
        <f t="shared" si="1"/>
        <v>229.59345794392524</v>
      </c>
    </row>
    <row r="33" spans="1:5">
      <c r="A33" s="7">
        <v>244226</v>
      </c>
      <c r="B33" s="8" t="s">
        <v>52</v>
      </c>
      <c r="C33" s="9">
        <v>1838</v>
      </c>
      <c r="D33" s="9">
        <f t="shared" si="0"/>
        <v>1717.7570093457944</v>
      </c>
      <c r="E33" s="9">
        <f t="shared" si="1"/>
        <v>120.24299065420561</v>
      </c>
    </row>
    <row r="34" spans="1:5">
      <c r="A34" s="7">
        <v>244227</v>
      </c>
      <c r="B34" s="8" t="s">
        <v>53</v>
      </c>
      <c r="C34" s="9">
        <v>1116</v>
      </c>
      <c r="D34" s="9">
        <f t="shared" si="0"/>
        <v>1042.9906542056074</v>
      </c>
      <c r="E34" s="9">
        <f>D34*0.07</f>
        <v>73.009345794392516</v>
      </c>
    </row>
    <row r="35" spans="1:5" ht="21" customHeight="1" thickBot="1">
      <c r="A35" s="10"/>
      <c r="B35" s="11" t="s">
        <v>22</v>
      </c>
      <c r="C35" s="12">
        <f>SUM(C4:C34)</f>
        <v>66045.5</v>
      </c>
      <c r="D35" s="12">
        <f>SUM(D4:D34)</f>
        <v>61724.766355140186</v>
      </c>
      <c r="E35" s="12">
        <f>SUM(E4:E34)</f>
        <v>4320.7336448598126</v>
      </c>
    </row>
    <row r="36" spans="1:5" ht="15.75" thickTop="1">
      <c r="C36" s="2"/>
      <c r="D36" s="2"/>
      <c r="E36" s="2"/>
    </row>
    <row r="37" spans="1:5">
      <c r="C37" s="2"/>
      <c r="D37" s="2"/>
      <c r="E37" s="2"/>
    </row>
    <row r="38" spans="1:5">
      <c r="C38" s="2"/>
      <c r="D38" s="2"/>
      <c r="E38" s="2"/>
    </row>
  </sheetData>
  <mergeCells count="1">
    <mergeCell ref="A1:E2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Lineman All Transaction</vt:lpstr>
      <vt:lpstr> Lineman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WE_AcerNB</dc:creator>
  <cp:lastModifiedBy>Chayanon Kongklang</cp:lastModifiedBy>
  <cp:lastPrinted>2025-09-17T06:40:45Z</cp:lastPrinted>
  <dcterms:created xsi:type="dcterms:W3CDTF">2025-08-14T11:33:51Z</dcterms:created>
  <dcterms:modified xsi:type="dcterms:W3CDTF">2025-10-01T09:15:24Z</dcterms:modified>
</cp:coreProperties>
</file>